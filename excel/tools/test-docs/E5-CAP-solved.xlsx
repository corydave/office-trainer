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Summary" sheetId="2" r:id="rId2"/>
    <sheet name="Rates" sheetId="3" r:id="rId3"/>
  </sheets>
  <definedNames>
    <definedName name="TaxRate">Rates!$B$2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<sst xmlns="http://schemas.openxmlformats.org/spreadsheetml/2006/main" count="45" uniqueCount="20">
  <si>
    <t>Total</t>
  </si>
  <si>
    <t>Order ID</t>
  </si>
  <si>
    <t>Date</t>
  </si>
  <si>
    <t>Boat</t>
  </si>
  <si>
    <t>Hours</t>
  </si>
  <si>
    <t>Rate</t>
  </si>
  <si>
    <t>Amount</t>
  </si>
  <si>
    <t>Canoe</t>
  </si>
  <si>
    <t>Paddleboard</t>
  </si>
  <si>
    <t>Solo kayak</t>
  </si>
  <si>
    <t>Tandem kayak</t>
  </si>
  <si>
    <t>Season summary</t>
  </si>
  <si>
    <t>Total amount</t>
  </si>
  <si>
    <t>Number of orders</t>
  </si>
  <si>
    <t>Goal</t>
  </si>
  <si>
    <t>Sales tax</t>
  </si>
  <si>
    <t>Boats</t>
  </si>
  <si>
    <t>Rentals</t>
  </si>
  <si>
    <t>Sales tax rate</t>
  </si>
  <si>
    <t>lpc-2027-season</t>
  </si>
</sst>
</file>

<file path=xl/styles.xml><?xml version="1.0" encoding="utf-8"?>
<styleSheet xmlns="http://schemas.openxmlformats.org/spreadsheetml/2006/main">
  <numFmts count="3">
    <numFmt numFmtId="164" formatCode="m/d/yyyy"/>
    <numFmt numFmtId="165" formatCode="&quot;$&quot;#,##0.00"/>
    <numFmt numFmtId="166" formatCode="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166" fontId="0" fillId="0" borderId="0" xfId="0" applyNumberFormat="1"/>
  </cellXfs>
  <cellStyles count="1">
    <cellStyle name="Normal" xfId="0" builtinId="0"/>
  </cellStyles>
  <dxfs count="3">
    <dxf>
      <numFmt numFmtId="164" formatCode="m/d/yyyy"/>
    </dxf>
    <dxf>
      <numFmt numFmtId="165" formatCode="&quot;$&quot;#,##0.00"/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Rentals by boat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Summary!$B$10</c:f>
              <c:strCache>
                <c:ptCount val="1"/>
                <c:pt idx="0">
                  <c:v>Rentals</c:v>
                </c:pt>
              </c:strCache>
            </c:strRef>
          </c:tx>
          <c:cat>
            <c:strRef>
              <c:f>Summary!$A$11:$A$14</c:f>
              <c:strCache>
                <c:ptCount val="4"/>
                <c:pt idx="0">
                  <c:v>Solo kayak</c:v>
                </c:pt>
                <c:pt idx="1">
                  <c:v>Tandem kayak</c:v>
                </c:pt>
                <c:pt idx="2">
                  <c:v>Canoe</c:v>
                </c:pt>
                <c:pt idx="3">
                  <c:v>Paddleboard</c:v>
                </c:pt>
              </c:strCache>
            </c:strRef>
          </c:cat>
          <c:val>
            <c:numRef>
              <c:f>Summary!$B$11:$B$14</c:f>
              <c:numCache>
                <c:formatCode>General</c:formatCode>
                <c:ptCount val="4"/>
                <c:pt idx="0">
                  <c:v>6</c:v>
                </c:pt>
                <c:pt idx="1">
                  <c:v>4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 descr="Solo kayaks and canoes were rented most, 6 times each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Orders" displayName="Orders" ref="A1:F22" totalsRowCount="1">
  <autoFilter ref="A1:F21"/>
  <tableColumns count="6">
    <tableColumn id="1" name="Order ID" totalsRowLabel="Total"/>
    <tableColumn id="2" name="Date" dataDxfId="0"/>
    <tableColumn id="3" name="Boat"/>
    <tableColumn id="4" name="Hours"/>
    <tableColumn id="5" name="Rate"/>
    <tableColumn id="6" name="Amount" totalsRowFunction="sum" dataDxfId="1">
      <calculatedColumnFormula>[[#This Row],Hours]*[[#This Row],Rate]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1.7109375" customWidth="1"/>
    <col min="3" max="3" width="14.7109375" customWidth="1"/>
    <col min="6" max="6" width="10.7109375" customWidth="1"/>
  </cols>
  <sheetData>
    <row r="1" spans="1: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>
      <c r="A2">
        <v>3008</v>
      </c>
      <c r="B2" s="1">
        <v>46544</v>
      </c>
      <c r="C2" t="s">
        <v>7</v>
      </c>
      <c r="D2">
        <v>1</v>
      </c>
      <c r="E2">
        <v>20</v>
      </c>
      <c r="F2" s="2">
        <f>Orders[[#This Row],[Hours]]*Orders[[#This Row],[Rate]]</f>
        <v>20</v>
      </c>
    </row>
    <row r="3" spans="1:6">
      <c r="A3">
        <v>3009</v>
      </c>
      <c r="B3" s="1">
        <v>46568</v>
      </c>
      <c r="C3" t="s">
        <v>7</v>
      </c>
      <c r="D3">
        <v>3</v>
      </c>
      <c r="E3">
        <v>20</v>
      </c>
      <c r="F3" s="2">
        <f>Orders[[#This Row],[Hours]]*Orders[[#This Row],[Rate]]</f>
        <v>60</v>
      </c>
    </row>
    <row r="4" spans="1:6">
      <c r="A4">
        <v>3001</v>
      </c>
      <c r="B4" s="1">
        <v>46592</v>
      </c>
      <c r="C4" t="s">
        <v>7</v>
      </c>
      <c r="D4">
        <v>2</v>
      </c>
      <c r="E4">
        <v>20</v>
      </c>
      <c r="F4" s="2">
        <f>Orders[[#This Row],[Hours]]*Orders[[#This Row],[Rate]]</f>
        <v>40</v>
      </c>
    </row>
    <row r="5" spans="1:6">
      <c r="A5">
        <v>3002</v>
      </c>
      <c r="B5" s="1">
        <v>46604</v>
      </c>
      <c r="C5" t="s">
        <v>7</v>
      </c>
      <c r="D5">
        <v>2</v>
      </c>
      <c r="E5">
        <v>20</v>
      </c>
      <c r="F5" s="2">
        <f>Orders[[#This Row],[Hours]]*Orders[[#This Row],[Rate]]</f>
        <v>40</v>
      </c>
    </row>
    <row r="6" spans="1:6">
      <c r="A6">
        <v>3020</v>
      </c>
      <c r="B6" s="1">
        <v>46608</v>
      </c>
      <c r="C6" t="s">
        <v>7</v>
      </c>
      <c r="D6">
        <v>2</v>
      </c>
      <c r="E6">
        <v>20</v>
      </c>
      <c r="F6" s="2">
        <f>Orders[[#This Row],[Hours]]*Orders[[#This Row],[Rate]]</f>
        <v>40</v>
      </c>
    </row>
    <row r="7" spans="1:6">
      <c r="A7">
        <v>3011</v>
      </c>
      <c r="B7" s="1">
        <v>46612</v>
      </c>
      <c r="C7" t="s">
        <v>7</v>
      </c>
      <c r="D7">
        <v>2</v>
      </c>
      <c r="E7">
        <v>20</v>
      </c>
      <c r="F7" s="2">
        <f>Orders[[#This Row],[Hours]]*Orders[[#This Row],[Rate]]</f>
        <v>40</v>
      </c>
    </row>
    <row r="8" spans="1:6">
      <c r="A8">
        <v>3014</v>
      </c>
      <c r="B8" s="1">
        <v>46548</v>
      </c>
      <c r="C8" t="s">
        <v>8</v>
      </c>
      <c r="D8">
        <v>5</v>
      </c>
      <c r="E8">
        <v>12</v>
      </c>
      <c r="F8" s="2">
        <f>Orders[[#This Row],[Hours]]*Orders[[#This Row],[Rate]]</f>
        <v>60</v>
      </c>
    </row>
    <row r="9" spans="1:6">
      <c r="A9">
        <v>3007</v>
      </c>
      <c r="B9" s="1">
        <v>46564</v>
      </c>
      <c r="C9" t="s">
        <v>8</v>
      </c>
      <c r="D9">
        <v>2</v>
      </c>
      <c r="E9">
        <v>12</v>
      </c>
      <c r="F9" s="2">
        <f>Orders[[#This Row],[Hours]]*Orders[[#This Row],[Rate]]</f>
        <v>24</v>
      </c>
    </row>
    <row r="10" spans="1:6">
      <c r="A10">
        <v>3005</v>
      </c>
      <c r="B10" s="1">
        <v>46572</v>
      </c>
      <c r="C10" t="s">
        <v>8</v>
      </c>
      <c r="D10">
        <v>2</v>
      </c>
      <c r="E10">
        <v>12</v>
      </c>
      <c r="F10" s="2">
        <f>Orders[[#This Row],[Hours]]*Orders[[#This Row],[Rate]]</f>
        <v>24</v>
      </c>
    </row>
    <row r="11" spans="1:6">
      <c r="A11">
        <v>3016</v>
      </c>
      <c r="B11" s="1">
        <v>46588</v>
      </c>
      <c r="C11" t="s">
        <v>8</v>
      </c>
      <c r="D11">
        <v>3</v>
      </c>
      <c r="E11">
        <v>12</v>
      </c>
      <c r="F11" s="2">
        <f>Orders[[#This Row],[Hours]]*Orders[[#This Row],[Rate]]</f>
        <v>36</v>
      </c>
    </row>
    <row r="12" spans="1:6">
      <c r="A12">
        <v>3015</v>
      </c>
      <c r="B12" s="1">
        <v>46540</v>
      </c>
      <c r="C12" t="s">
        <v>9</v>
      </c>
      <c r="D12">
        <v>2</v>
      </c>
      <c r="E12">
        <v>15</v>
      </c>
      <c r="F12" s="2">
        <f>Orders[[#This Row],[Hours]]*Orders[[#This Row],[Rate]]</f>
        <v>30</v>
      </c>
    </row>
    <row r="13" spans="1:6">
      <c r="A13">
        <v>3018</v>
      </c>
      <c r="B13" s="1">
        <v>46552</v>
      </c>
      <c r="C13" t="s">
        <v>9</v>
      </c>
      <c r="D13">
        <v>4</v>
      </c>
      <c r="E13">
        <v>15</v>
      </c>
      <c r="F13" s="2">
        <f>Orders[[#This Row],[Hours]]*Orders[[#This Row],[Rate]]</f>
        <v>60</v>
      </c>
    </row>
    <row r="14" spans="1:6">
      <c r="A14">
        <v>3017</v>
      </c>
      <c r="B14" s="1">
        <v>46556</v>
      </c>
      <c r="C14" t="s">
        <v>9</v>
      </c>
      <c r="D14">
        <v>3</v>
      </c>
      <c r="E14">
        <v>15</v>
      </c>
      <c r="F14" s="2">
        <f>Orders[[#This Row],[Hours]]*Orders[[#This Row],[Rate]]</f>
        <v>45</v>
      </c>
    </row>
    <row r="15" spans="1:6">
      <c r="A15">
        <v>3019</v>
      </c>
      <c r="B15" s="1">
        <v>46584</v>
      </c>
      <c r="C15" t="s">
        <v>9</v>
      </c>
      <c r="D15">
        <v>1</v>
      </c>
      <c r="E15">
        <v>15</v>
      </c>
      <c r="F15" s="2">
        <f>Orders[[#This Row],[Hours]]*Orders[[#This Row],[Rate]]</f>
        <v>15</v>
      </c>
    </row>
    <row r="16" spans="1:6">
      <c r="A16">
        <v>3003</v>
      </c>
      <c r="B16" s="1">
        <v>46596</v>
      </c>
      <c r="C16" t="s">
        <v>9</v>
      </c>
      <c r="D16">
        <v>3</v>
      </c>
      <c r="E16">
        <v>15</v>
      </c>
      <c r="F16" s="2">
        <f>Orders[[#This Row],[Hours]]*Orders[[#This Row],[Rate]]</f>
        <v>45</v>
      </c>
    </row>
    <row r="17" spans="1:6">
      <c r="A17">
        <v>3010</v>
      </c>
      <c r="B17" s="1">
        <v>46600</v>
      </c>
      <c r="C17" t="s">
        <v>9</v>
      </c>
      <c r="D17">
        <v>2</v>
      </c>
      <c r="E17">
        <v>15</v>
      </c>
      <c r="F17" s="2">
        <f>Orders[[#This Row],[Hours]]*Orders[[#This Row],[Rate]]</f>
        <v>30</v>
      </c>
    </row>
    <row r="18" spans="1:6">
      <c r="A18">
        <v>3006</v>
      </c>
      <c r="B18" s="1">
        <v>46536</v>
      </c>
      <c r="C18" t="s">
        <v>10</v>
      </c>
      <c r="D18">
        <v>4</v>
      </c>
      <c r="E18">
        <v>22</v>
      </c>
      <c r="F18" s="2">
        <f>Orders[[#This Row],[Hours]]*Orders[[#This Row],[Rate]]</f>
        <v>88</v>
      </c>
    </row>
    <row r="19" spans="1:6">
      <c r="A19">
        <v>3012</v>
      </c>
      <c r="B19" s="1">
        <v>46560</v>
      </c>
      <c r="C19" t="s">
        <v>10</v>
      </c>
      <c r="D19">
        <v>4</v>
      </c>
      <c r="E19">
        <v>22</v>
      </c>
      <c r="F19" s="2">
        <f>Orders[[#This Row],[Hours]]*Orders[[#This Row],[Rate]]</f>
        <v>88</v>
      </c>
    </row>
    <row r="20" spans="1:6">
      <c r="A20">
        <v>3013</v>
      </c>
      <c r="B20" s="1">
        <v>46576</v>
      </c>
      <c r="C20" t="s">
        <v>10</v>
      </c>
      <c r="D20">
        <v>1</v>
      </c>
      <c r="E20">
        <v>22</v>
      </c>
      <c r="F20" s="2">
        <f>Orders[[#This Row],[Hours]]*Orders[[#This Row],[Rate]]</f>
        <v>22</v>
      </c>
    </row>
    <row r="21" spans="1:6">
      <c r="A21">
        <v>3004</v>
      </c>
      <c r="B21" s="1">
        <v>46580</v>
      </c>
      <c r="C21" t="s">
        <v>10</v>
      </c>
      <c r="D21">
        <v>2</v>
      </c>
      <c r="E21">
        <v>22</v>
      </c>
      <c r="F21" s="2">
        <f>Orders[[#This Row],[Hours]]*Orders[[#This Row],[Rate]]</f>
        <v>44</v>
      </c>
    </row>
    <row r="22" spans="1:6">
      <c r="A22" t="s">
        <v>0</v>
      </c>
      <c r="F22" s="2">
        <f>SUBTOTAL(109,Orders[Amount])</f>
        <v>851</v>
      </c>
    </row>
  </sheetData>
  <conditionalFormatting sqref="D2:D21">
    <cfRule type="cellIs" dxfId="2" priority="1" operator="greaterThan">
      <formula>3</formula>
    </cfRule>
  </conditionalFormatting>
  <pageMargins left="0.7" right="0.7" top="0.75" bottom="0.75" header="0.3" footer="0.3"/>
  <pageSetup fitToHeight="0" orientation="landscape"/>
  <headerFooter>
    <oddFooter>&amp;CPage &amp;P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18.7109375" customWidth="1"/>
    <col min="2" max="2" width="12.7109375" customWidth="1"/>
    <col min="4" max="4" width="14.7109375" customWidth="1"/>
  </cols>
  <sheetData>
    <row r="1" spans="1:4">
      <c r="A1" s="3" t="s">
        <v>11</v>
      </c>
    </row>
    <row r="2" spans="1:4">
      <c r="D2" s="4" t="s">
        <v>16</v>
      </c>
    </row>
    <row r="3" spans="1:4">
      <c r="A3" t="s">
        <v>12</v>
      </c>
      <c r="B3" s="2">
        <f>SUM(Orders[Amount])</f>
        <v>851</v>
      </c>
      <c r="D3" cm="1" t="str">
        <f t="array" ref="D3:D6">_xlfn.UNIQUE(Orders[Boat])</f>
        <v>Canoe</v>
      </c>
    </row>
    <row r="4" spans="1:4">
      <c r="A4" t="s">
        <v>13</v>
      </c>
      <c r="B4">
        <f>COUNTA(Orders[Order ID])</f>
        <v>20</v>
      </c>
      <c r="D4" t="s">
        <v>8</v>
      </c>
    </row>
    <row r="5" spans="1:4">
      <c r="A5" t="s">
        <v>14</v>
      </c>
      <c r="B5" t="str">
        <f>IF(B3&gt;=800,"Goal met","Keep going")</f>
        <v>Goal met</v>
      </c>
      <c r="D5" t="s">
        <v>9</v>
      </c>
    </row>
    <row r="6" spans="1:4">
      <c r="A6" t="s">
        <v>15</v>
      </c>
      <c r="B6" s="2">
        <f>B3*TaxRate</f>
        <v>68.08</v>
      </c>
      <c r="D6" t="s">
        <v>10</v>
      </c>
    </row>
    <row r="10" spans="1:4">
      <c r="A10" s="5" t="s">
        <v>3</v>
      </c>
      <c r="B10" s="5" t="s">
        <v>17</v>
      </c>
    </row>
    <row r="11" spans="1:4">
      <c r="A11" t="s">
        <v>9</v>
      </c>
      <c r="B11">
        <v>6</v>
      </c>
    </row>
    <row r="12" spans="1:4">
      <c r="A12" t="s">
        <v>10</v>
      </c>
      <c r="B12">
        <v>4</v>
      </c>
    </row>
    <row r="13" spans="1:4">
      <c r="A13" t="s">
        <v>7</v>
      </c>
      <c r="B13">
        <v>6</v>
      </c>
    </row>
    <row r="14" spans="1:4">
      <c r="A14" t="s">
        <v>8</v>
      </c>
      <c r="B14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16.7109375" customWidth="1"/>
  </cols>
  <sheetData>
    <row r="1" spans="1:2">
      <c r="A1" s="4" t="s">
        <v>18</v>
      </c>
      <c r="B1" s="4"/>
    </row>
    <row r="2" spans="1:2">
      <c r="A2" t="s">
        <v>5</v>
      </c>
      <c r="B2" s="6">
        <v>0.08</v>
      </c>
    </row>
    <row r="5" spans="1:2">
      <c r="A5" t="s">
        <v>19</v>
      </c>
      <c r="B5" t="str">
        <f>UPPER(A5)</f>
        <v>LPC-2027-SEASON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Orders</vt:lpstr>
      <vt:lpstr>Summary</vt:lpstr>
      <vt:lpstr>Rates</vt:lpstr>
      <vt:lpstr>TaxRate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Season report</dc:title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