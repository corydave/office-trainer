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Old Counts" sheetId="2" r:id="rId2"/>
  </sheets>
  <definedNames>
    <definedName name="_xlnm.Print_Area" localSheetId="0">Inventory!$A$1:$G$20</definedName>
  </definedNames>
  <calcPr calcId="124519" fullCalcOnLoad="1"/>
</workbook>
</file>

<file path=xl/sharedStrings.xml><?xml version="1.0" encoding="utf-8"?>
<sst xmlns="http://schemas.openxmlformats.org/spreadsheetml/2006/main" count="79" uniqueCount="45">
  <si>
    <t>Gear Inventory - Spring 2027</t>
  </si>
  <si>
    <t>Item #</t>
  </si>
  <si>
    <t>Item</t>
  </si>
  <si>
    <t>Category</t>
  </si>
  <si>
    <t>Supplier</t>
  </si>
  <si>
    <t>Cost</t>
  </si>
  <si>
    <t>On hand</t>
  </si>
  <si>
    <t>Reorder at</t>
  </si>
  <si>
    <t>G-101</t>
  </si>
  <si>
    <t>Life jacket, adult</t>
  </si>
  <si>
    <t>Safety</t>
  </si>
  <si>
    <t>G-102</t>
  </si>
  <si>
    <t>Life jacket, youth</t>
  </si>
  <si>
    <t>G-103</t>
  </si>
  <si>
    <t>Paddle, kayak</t>
  </si>
  <si>
    <t>Paddles</t>
  </si>
  <si>
    <t>G-104</t>
  </si>
  <si>
    <t>Paddle, canoe</t>
  </si>
  <si>
    <t>G-105</t>
  </si>
  <si>
    <t>Paddle, SUP</t>
  </si>
  <si>
    <t>G-106</t>
  </si>
  <si>
    <t>Dry bag, 10 L</t>
  </si>
  <si>
    <t>Gear</t>
  </si>
  <si>
    <t>G-107</t>
  </si>
  <si>
    <t>Dry bag, 20 L</t>
  </si>
  <si>
    <t>G-108</t>
  </si>
  <si>
    <t>Whistle</t>
  </si>
  <si>
    <t>G-109</t>
  </si>
  <si>
    <t>Bilge pump</t>
  </si>
  <si>
    <t>G-110</t>
  </si>
  <si>
    <t>Spray skirt</t>
  </si>
  <si>
    <t>G-111</t>
  </si>
  <si>
    <t>Kayak seat pad</t>
  </si>
  <si>
    <t>G-112</t>
  </si>
  <si>
    <t>Life jacket, child</t>
  </si>
  <si>
    <t>G-113</t>
  </si>
  <si>
    <t>Rescue rope</t>
  </si>
  <si>
    <t>G-114</t>
  </si>
  <si>
    <t>Canoe yoke pad</t>
  </si>
  <si>
    <t>G-115</t>
  </si>
  <si>
    <t>Leash, SUP</t>
  </si>
  <si>
    <t>G-116</t>
  </si>
  <si>
    <t>Fin, SUP</t>
  </si>
  <si>
    <t>G-117</t>
  </si>
  <si>
    <t>First aid kit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</si>
</sst>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0" fillId="0" borderId="0" xfId="0" applyNumberFormat="1"/>
    <xf numFmtId="0" fontId="2" fillId="0" borderId="0" xfId="0" applyFont="1"/>
    <xf numFmtId="0" fontId="1" fillId="0" borderId="0" xfId="1" applyFont="1" applyAlignment="1">
      <alignment horizontal="center"/>
    </xf>
  </cellXfs>
  <cellStyles count="2">
    <cellStyle name="Normal" xfId="0" builtinId="0"/>
    <cellStyle name="Title" xfId="1" builtinId="15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7" width="11.7109375" customWidth="1"/>
  </cols>
  <sheetData>
    <row r="1" spans="1:7">
      <c r="A1" s="5" t="s">
        <v>0</v>
      </c>
      <c r="B1" s="1"/>
      <c r="C1" s="1"/>
      <c r="D1" s="1"/>
      <c r="E1" s="1"/>
      <c r="F1" s="1"/>
      <c r="G1" s="1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t="s">
        <v>8</v>
      </c>
      <c r="B4" t="s">
        <v>9</v>
      </c>
      <c r="C4" t="s">
        <v>10</v>
      </c>
      <c r="E4" s="3">
        <v>39</v>
      </c>
      <c r="F4">
        <v>60</v>
      </c>
      <c r="G4">
        <v>15</v>
      </c>
    </row>
    <row r="5" spans="1:7">
      <c r="A5" t="s">
        <v>11</v>
      </c>
      <c r="B5" t="s">
        <v>12</v>
      </c>
      <c r="C5" t="s">
        <v>10</v>
      </c>
      <c r="E5" s="3">
        <v>34</v>
      </c>
      <c r="F5">
        <v>25</v>
      </c>
      <c r="G5">
        <v>6</v>
      </c>
    </row>
    <row r="6" spans="1:7">
      <c r="A6" t="s">
        <v>13</v>
      </c>
      <c r="B6" t="s">
        <v>14</v>
      </c>
      <c r="C6" t="s">
        <v>15</v>
      </c>
      <c r="E6" s="3">
        <v>89</v>
      </c>
      <c r="F6">
        <v>40</v>
      </c>
      <c r="G6">
        <v>10</v>
      </c>
    </row>
    <row r="7" spans="1:7">
      <c r="A7" t="s">
        <v>16</v>
      </c>
      <c r="B7" t="s">
        <v>17</v>
      </c>
      <c r="C7" t="s">
        <v>15</v>
      </c>
      <c r="E7" s="3">
        <v>54</v>
      </c>
      <c r="F7">
        <v>30</v>
      </c>
      <c r="G7">
        <v>8</v>
      </c>
    </row>
    <row r="8" spans="1:7">
      <c r="A8" t="s">
        <v>18</v>
      </c>
      <c r="B8" t="s">
        <v>19</v>
      </c>
      <c r="C8" t="s">
        <v>15</v>
      </c>
      <c r="E8" s="3">
        <v>79</v>
      </c>
      <c r="F8">
        <v>20</v>
      </c>
      <c r="G8">
        <v>5</v>
      </c>
    </row>
    <row r="9" spans="1:7">
      <c r="A9" t="s">
        <v>20</v>
      </c>
      <c r="B9" t="s">
        <v>21</v>
      </c>
      <c r="C9" t="s">
        <v>22</v>
      </c>
      <c r="E9" s="3">
        <v>18.5</v>
      </c>
      <c r="F9">
        <v>35</v>
      </c>
      <c r="G9">
        <v>9</v>
      </c>
    </row>
    <row r="10" spans="1:7">
      <c r="A10" t="s">
        <v>23</v>
      </c>
      <c r="B10" t="s">
        <v>24</v>
      </c>
      <c r="C10" t="s">
        <v>22</v>
      </c>
      <c r="E10" s="3">
        <v>24</v>
      </c>
      <c r="F10">
        <v>20</v>
      </c>
      <c r="G10">
        <v>5</v>
      </c>
    </row>
    <row r="11" spans="1:7">
      <c r="A11" t="s">
        <v>25</v>
      </c>
      <c r="B11" t="s">
        <v>26</v>
      </c>
      <c r="C11" t="s">
        <v>10</v>
      </c>
      <c r="E11" s="3">
        <v>3.5</v>
      </c>
      <c r="F11">
        <v>80</v>
      </c>
      <c r="G11">
        <v>20</v>
      </c>
    </row>
    <row r="12" spans="1:7">
      <c r="A12" t="s">
        <v>27</v>
      </c>
      <c r="B12" t="s">
        <v>28</v>
      </c>
      <c r="C12" t="s">
        <v>10</v>
      </c>
      <c r="E12" s="3">
        <v>32</v>
      </c>
      <c r="F12">
        <v>12</v>
      </c>
      <c r="G12">
        <v>3</v>
      </c>
    </row>
    <row r="13" spans="1:7">
      <c r="A13" t="s">
        <v>29</v>
      </c>
      <c r="B13" t="s">
        <v>30</v>
      </c>
      <c r="C13" t="s">
        <v>22</v>
      </c>
      <c r="E13" s="3">
        <v>65</v>
      </c>
      <c r="F13">
        <v>15</v>
      </c>
      <c r="G13">
        <v>4</v>
      </c>
    </row>
    <row r="14" spans="1:7">
      <c r="A14" t="s">
        <v>31</v>
      </c>
      <c r="B14" t="s">
        <v>32</v>
      </c>
      <c r="C14" t="s">
        <v>22</v>
      </c>
      <c r="E14" s="3">
        <v>22</v>
      </c>
      <c r="F14">
        <v>18</v>
      </c>
      <c r="G14">
        <v>4</v>
      </c>
    </row>
    <row r="15" spans="1:7">
      <c r="A15" t="s">
        <v>33</v>
      </c>
      <c r="B15" t="s">
        <v>34</v>
      </c>
      <c r="C15" t="s">
        <v>10</v>
      </c>
      <c r="E15" s="3">
        <v>29</v>
      </c>
      <c r="F15">
        <v>20</v>
      </c>
      <c r="G15">
        <v>5</v>
      </c>
    </row>
    <row r="16" spans="1:7">
      <c r="A16" t="s">
        <v>35</v>
      </c>
      <c r="B16" t="s">
        <v>36</v>
      </c>
      <c r="C16" t="s">
        <v>10</v>
      </c>
      <c r="E16" s="3">
        <v>27</v>
      </c>
      <c r="F16">
        <v>10</v>
      </c>
      <c r="G16">
        <v>2</v>
      </c>
    </row>
    <row r="17" spans="1:7">
      <c r="A17" t="s">
        <v>37</v>
      </c>
      <c r="B17" t="s">
        <v>38</v>
      </c>
      <c r="C17" t="s">
        <v>22</v>
      </c>
      <c r="E17" s="3">
        <v>16</v>
      </c>
      <c r="F17">
        <v>8</v>
      </c>
      <c r="G17">
        <v>2</v>
      </c>
    </row>
    <row r="18" spans="1:7">
      <c r="A18" t="s">
        <v>39</v>
      </c>
      <c r="B18" t="s">
        <v>40</v>
      </c>
      <c r="C18" t="s">
        <v>22</v>
      </c>
      <c r="E18" s="3">
        <v>19</v>
      </c>
      <c r="F18">
        <v>22</v>
      </c>
      <c r="G18">
        <v>6</v>
      </c>
    </row>
    <row r="19" spans="1:7">
      <c r="A19" t="s">
        <v>41</v>
      </c>
      <c r="B19" t="s">
        <v>42</v>
      </c>
      <c r="C19" t="s">
        <v>22</v>
      </c>
      <c r="E19" s="3">
        <v>25</v>
      </c>
      <c r="F19">
        <v>14</v>
      </c>
      <c r="G19">
        <v>4</v>
      </c>
    </row>
    <row r="20" spans="1:7">
      <c r="A20" t="s">
        <v>43</v>
      </c>
      <c r="B20" t="s">
        <v>44</v>
      </c>
      <c r="C20" t="s">
        <v>10</v>
      </c>
      <c r="E20" s="3">
        <v>45</v>
      </c>
      <c r="F20">
        <v>6</v>
      </c>
      <c r="G20">
        <v>2</v>
      </c>
    </row>
  </sheetData>
  <mergeCells count="1">
    <mergeCell ref="A1:G1"/>
  </mergeCells>
  <pageMargins left="0.7" right="0.7" top="0.75" bottom="0.75" header="0.3" footer="0.3"/>
  <pageSetup fitToHeight="0" orientation="landscape"/>
  <headerFoot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4" t="s">
        <v>1</v>
      </c>
      <c r="B1" s="4" t="s">
        <v>6</v>
      </c>
      <c r="C1" s="4" t="s">
        <v>7</v>
      </c>
    </row>
    <row r="2" spans="1:3">
      <c r="A2" t="s">
        <v>8</v>
      </c>
      <c r="B2">
        <v>60</v>
      </c>
      <c r="C2">
        <f>ROUND(B2*0.25,0)</f>
        <v>15</v>
      </c>
    </row>
    <row r="3" spans="1:3">
      <c r="A3" t="s">
        <v>11</v>
      </c>
      <c r="B3">
        <v>25</v>
      </c>
      <c r="C3">
        <f>ROUND(B3*0.25,0)</f>
        <v>6</v>
      </c>
    </row>
    <row r="4" spans="1:3">
      <c r="A4" t="s">
        <v>13</v>
      </c>
      <c r="B4">
        <v>40</v>
      </c>
      <c r="C4">
        <f>ROUND(B4*0.25,0)</f>
        <v>10</v>
      </c>
    </row>
    <row r="5" spans="1:3">
      <c r="A5" t="s">
        <v>16</v>
      </c>
      <c r="B5">
        <v>30</v>
      </c>
      <c r="C5">
        <f>ROUND(B5*0.25,0)</f>
        <v>8</v>
      </c>
    </row>
    <row r="6" spans="1:3">
      <c r="A6" t="s">
        <v>18</v>
      </c>
      <c r="B6">
        <v>20</v>
      </c>
      <c r="C6">
        <f>ROUND(B6*0.25,0)</f>
        <v>5</v>
      </c>
    </row>
    <row r="7" spans="1:3">
      <c r="A7" t="s">
        <v>20</v>
      </c>
      <c r="B7">
        <v>35</v>
      </c>
      <c r="C7">
        <f>ROUND(B7*0.25,0)</f>
        <v>9</v>
      </c>
    </row>
    <row r="8" spans="1:3">
      <c r="A8" t="s">
        <v>23</v>
      </c>
      <c r="B8">
        <v>20</v>
      </c>
      <c r="C8">
        <f>ROUND(B8*0.25,0)</f>
        <v>5</v>
      </c>
    </row>
    <row r="9" spans="1:3">
      <c r="A9" t="s">
        <v>25</v>
      </c>
      <c r="B9">
        <v>80</v>
      </c>
      <c r="C9">
        <f>ROUND(B9*0.25,0)</f>
        <v>20</v>
      </c>
    </row>
    <row r="10" spans="1:3">
      <c r="A10" t="s">
        <v>27</v>
      </c>
      <c r="B10">
        <v>12</v>
      </c>
      <c r="C10">
        <f>ROUND(B10*0.25,0)</f>
        <v>3</v>
      </c>
    </row>
    <row r="11" spans="1:3">
      <c r="A11" t="s">
        <v>29</v>
      </c>
      <c r="B11">
        <v>15</v>
      </c>
      <c r="C11">
        <f>ROUND(B11*0.25,0)</f>
        <v>4</v>
      </c>
    </row>
    <row r="12" spans="1:3">
      <c r="A12" t="s">
        <v>31</v>
      </c>
      <c r="B12">
        <v>18</v>
      </c>
      <c r="C12">
        <f>ROUND(B12*0.25,0)</f>
        <v>4</v>
      </c>
    </row>
    <row r="13" spans="1:3">
      <c r="A13" t="s">
        <v>33</v>
      </c>
      <c r="B13">
        <v>20</v>
      </c>
      <c r="C13">
        <f>ROUND(B13*0.25,0)</f>
        <v>5</v>
      </c>
    </row>
    <row r="14" spans="1:3">
      <c r="A14" t="s">
        <v>35</v>
      </c>
      <c r="B14">
        <v>10</v>
      </c>
      <c r="C14">
        <f>ROUND(B14*0.25,0)</f>
        <v>2</v>
      </c>
    </row>
    <row r="15" spans="1:3">
      <c r="A15" t="s">
        <v>37</v>
      </c>
      <c r="B15">
        <v>8</v>
      </c>
      <c r="C15">
        <f>ROUND(B15*0.25,0)</f>
        <v>2</v>
      </c>
    </row>
    <row r="16" spans="1:3">
      <c r="A16" t="s">
        <v>39</v>
      </c>
      <c r="B16">
        <v>22</v>
      </c>
      <c r="C16">
        <f>ROUND(B16*0.25,0)</f>
        <v>6</v>
      </c>
    </row>
    <row r="17" spans="1:3">
      <c r="A17" t="s">
        <v>41</v>
      </c>
      <c r="B17">
        <v>14</v>
      </c>
      <c r="C17">
        <f>ROUND(B17*0.25,0)</f>
        <v>4</v>
      </c>
    </row>
    <row r="18" spans="1:3">
      <c r="A18" t="s">
        <v>43</v>
      </c>
      <c r="B18">
        <v>6</v>
      </c>
      <c r="C18">
        <f>ROUND(B18*0.25,0)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Inventory</vt:lpstr>
      <vt:lpstr>Old Counts</vt:lpstr>
      <vt:lpstr>Inventory!Print_Area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Gear Inventory</dc:title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