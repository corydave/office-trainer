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nnections.xml" ContentType="application/vnd.openxmlformats-officedocument.spreadsheetml.connection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ar" sheetId="1" r:id="rId1"/>
    <sheet name="Lists" sheetId="2" r:id="rId2"/>
    <sheet name="Trend" sheetId="3" r:id="rId3"/>
    <sheet name="Old" sheetId="4" r:id="rId4"/>
    <sheet name="E3-SC3-deliveries" sheetId="5" r:id="rId5"/>
  </sheets>
  <calcPr calcId="124519" fullCalcOnLoad="1"/>
</workbook>
</file>

<file path=xl/connections.xml><?xml version="1.0" encoding="utf-8"?>
<connections xmlns="http://schemas.openxmlformats.org/spreadsheetml/2006/main">
  <connection id="1" keepAlive="1" name="Query - E3-SC3-deliveries" description="Connection to the query in the workbook." type="5" refreshedVersion="8" background="1" saveData="1">
    <dbPr connection="Provider=Microsoft.Mashup.OleDb.1;Data Source=$Workbook$;Location=rentals;" command="SELECT * FROM [rental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<sst xmlns="http://schemas.openxmlformats.org/spreadsheetml/2006/main" count="73" uniqueCount="50">
  <si>
    <t>Total</t>
  </si>
  <si>
    <t>Item #</t>
  </si>
  <si>
    <t>Item</t>
  </si>
  <si>
    <t>Category</t>
  </si>
  <si>
    <t>On hand</t>
  </si>
  <si>
    <t>Cost</t>
  </si>
  <si>
    <t>Value</t>
  </si>
  <si>
    <t>G-106</t>
  </si>
  <si>
    <t>Dry bag, 10 L</t>
  </si>
  <si>
    <t>Gear</t>
  </si>
  <si>
    <t>G-112</t>
  </si>
  <si>
    <t>Leash, SUP</t>
  </si>
  <si>
    <t>G-107</t>
  </si>
  <si>
    <t>Dry bag, 20 L</t>
  </si>
  <si>
    <t>G-110</t>
  </si>
  <si>
    <t>Spray skirt</t>
  </si>
  <si>
    <t>G-103</t>
  </si>
  <si>
    <t>Paddle, kayak</t>
  </si>
  <si>
    <t>Paddles</t>
  </si>
  <si>
    <t>G-104</t>
  </si>
  <si>
    <t>Paddle, canoe</t>
  </si>
  <si>
    <t>G-105</t>
  </si>
  <si>
    <t>Paddle, SUP</t>
  </si>
  <si>
    <t>G-108</t>
  </si>
  <si>
    <t>Whistle</t>
  </si>
  <si>
    <t>Safety</t>
  </si>
  <si>
    <t>G-101</t>
  </si>
  <si>
    <t>Life jacket, adult</t>
  </si>
  <si>
    <t>G-102</t>
  </si>
  <si>
    <t>Life jacket, youth</t>
  </si>
  <si>
    <t>G-109</t>
  </si>
  <si>
    <t>Bilge pump</t>
  </si>
  <si>
    <t>G-111</t>
  </si>
  <si>
    <t>Rescue rope</t>
  </si>
  <si>
    <t>Categories</t>
  </si>
  <si>
    <t>Costs, highest first</t>
  </si>
  <si>
    <t>Apr</t>
  </si>
  <si>
    <t>May</t>
  </si>
  <si>
    <t>Jun</t>
  </si>
  <si>
    <t>Jul</t>
  </si>
  <si>
    <t>Trend</t>
  </si>
  <si>
    <t>Life jackets</t>
  </si>
  <si>
    <t>Dry bags</t>
  </si>
  <si>
    <t>Quantity</t>
  </si>
  <si>
    <t>Delivery</t>
  </si>
  <si>
    <t>D-01</t>
  </si>
  <si>
    <t>D-02</t>
  </si>
  <si>
    <t>D-03</t>
  </si>
  <si>
    <t>D-04</t>
  </si>
  <si>
    <t>D-05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</si>
</sst>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64" formatCode="&quot;$&quot;#,##0.00"/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Relationship Id="rId10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Gear" displayName="Gear" ref="A1:F14" totalsRowCount="1">
  <autoFilter ref="A1:F13">
    <filterColumn colId="2">
      <filters>
        <filter val="Safety"/>
      </filters>
    </filterColumn>
  </autoFilter>
  <tableColumns count="6">
    <tableColumn id="1" name="Item #" totalsRowLabel="Total"/>
    <tableColumn id="2" name="Item"/>
    <tableColumn id="3" name="Category"/>
    <tableColumn id="4" name="On hand" totalsRowFunction="sum"/>
    <tableColumn id="5" name="Cost" dataDxfId="0"/>
    <tableColumn id="6" name="Value" dataDxfId="0">
      <calculatedColumnFormula>[[#This Row],[On hand]]*[[#This Row],Cost]</calculatedColumnFormula>
    </tableColumn>
  </tableColumns>
  <tableStyleInfo name="TableStyleMedium4" showFirstColumn="1" showLastColumn="0" showRowStripes="1" showColumnStripes="0"/>
</table>
</file>

<file path=xl/tables/table2.xml><?xml version="1.0" encoding="utf-8"?>
<table xmlns="http://schemas.openxmlformats.org/spreadsheetml/2006/main" id="2" name="E3_SC3_deliveries" displayName="E3_SC3_deliveries" ref="A1:C6" totalsRowShown="0">
  <autoFilter ref="A1:C6"/>
  <tableColumns count="3">
    <tableColumn id="1" name="Delivery"/>
    <tableColumn id="2" name="Item #"/>
    <tableColumn id="3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2" max="2" width="20.7109375" customWidth="1"/>
    <col min="5" max="6" width="10.7109375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idden="1">
      <c r="A2" t="s">
        <v>7</v>
      </c>
      <c r="B2" t="s">
        <v>8</v>
      </c>
      <c r="C2" t="s">
        <v>9</v>
      </c>
      <c r="D2">
        <v>35</v>
      </c>
      <c r="E2" s="1">
        <v>18.5</v>
      </c>
      <c r="F2" s="1">
        <f>Gear[[#This Row],[On hand]]*Gear[[#This Row],[Cost]]</f>
        <v>647.5</v>
      </c>
    </row>
    <row r="3" spans="1:6" hidden="1">
      <c r="A3" t="s">
        <v>10</v>
      </c>
      <c r="B3" t="s">
        <v>11</v>
      </c>
      <c r="C3" t="s">
        <v>9</v>
      </c>
      <c r="D3">
        <v>22</v>
      </c>
      <c r="E3" s="1">
        <v>19</v>
      </c>
      <c r="F3" s="1">
        <f>Gear[[#This Row],[On hand]]*Gear[[#This Row],[Cost]]</f>
        <v>418.0</v>
      </c>
    </row>
    <row r="4" spans="1:6" hidden="1">
      <c r="A4" t="s">
        <v>12</v>
      </c>
      <c r="B4" t="s">
        <v>13</v>
      </c>
      <c r="C4" t="s">
        <v>9</v>
      </c>
      <c r="D4">
        <v>20</v>
      </c>
      <c r="E4" s="1">
        <v>24</v>
      </c>
      <c r="F4" s="1">
        <f>Gear[[#This Row],[On hand]]*Gear[[#This Row],[Cost]]</f>
        <v>480.0</v>
      </c>
    </row>
    <row r="5" spans="1:6" hidden="1">
      <c r="A5" t="s">
        <v>14</v>
      </c>
      <c r="B5" t="s">
        <v>15</v>
      </c>
      <c r="C5" t="s">
        <v>9</v>
      </c>
      <c r="D5">
        <v>15</v>
      </c>
      <c r="E5" s="1">
        <v>65</v>
      </c>
      <c r="F5" s="1">
        <f>Gear[[#This Row],[On hand]]*Gear[[#This Row],[Cost]]</f>
        <v>975.0</v>
      </c>
    </row>
    <row r="6" spans="1:6" hidden="1">
      <c r="A6" t="s">
        <v>16</v>
      </c>
      <c r="B6" t="s">
        <v>17</v>
      </c>
      <c r="C6" t="s">
        <v>18</v>
      </c>
      <c r="D6">
        <v>40</v>
      </c>
      <c r="E6" s="1">
        <v>89</v>
      </c>
      <c r="F6" s="1">
        <f>Gear[[#This Row],[On hand]]*Gear[[#This Row],[Cost]]</f>
        <v>3560.0</v>
      </c>
    </row>
    <row r="7" spans="1:6" hidden="1">
      <c r="A7" t="s">
        <v>19</v>
      </c>
      <c r="B7" t="s">
        <v>20</v>
      </c>
      <c r="C7" t="s">
        <v>18</v>
      </c>
      <c r="D7">
        <v>30</v>
      </c>
      <c r="E7" s="1">
        <v>54</v>
      </c>
      <c r="F7" s="1">
        <f>Gear[[#This Row],[On hand]]*Gear[[#This Row],[Cost]]</f>
        <v>1620.0</v>
      </c>
    </row>
    <row r="8" spans="1:6" hidden="1">
      <c r="A8" t="s">
        <v>21</v>
      </c>
      <c r="B8" t="s">
        <v>22</v>
      </c>
      <c r="C8" t="s">
        <v>18</v>
      </c>
      <c r="D8">
        <v>20</v>
      </c>
      <c r="E8" s="1">
        <v>79</v>
      </c>
      <c r="F8" s="1">
        <f>Gear[[#This Row],[On hand]]*Gear[[#This Row],[Cost]]</f>
        <v>1580.0</v>
      </c>
    </row>
    <row r="9" spans="1:6">
      <c r="A9" t="s">
        <v>23</v>
      </c>
      <c r="B9" t="s">
        <v>24</v>
      </c>
      <c r="C9" t="s">
        <v>25</v>
      </c>
      <c r="D9">
        <v>80</v>
      </c>
      <c r="E9" s="1">
        <v>3.5</v>
      </c>
      <c r="F9" s="1">
        <f>Gear[[#This Row],[On hand]]*Gear[[#This Row],[Cost]]</f>
        <v>280.0</v>
      </c>
    </row>
    <row r="10" spans="1:6">
      <c r="A10" t="s">
        <v>26</v>
      </c>
      <c r="B10" t="s">
        <v>27</v>
      </c>
      <c r="C10" t="s">
        <v>25</v>
      </c>
      <c r="D10">
        <v>60</v>
      </c>
      <c r="E10" s="1">
        <v>39</v>
      </c>
      <c r="F10" s="1">
        <f>Gear[[#This Row],[On hand]]*Gear[[#This Row],[Cost]]</f>
        <v>2340.0</v>
      </c>
    </row>
    <row r="11" spans="1:6">
      <c r="A11" t="s">
        <v>28</v>
      </c>
      <c r="B11" t="s">
        <v>29</v>
      </c>
      <c r="C11" t="s">
        <v>25</v>
      </c>
      <c r="D11">
        <v>25</v>
      </c>
      <c r="E11" s="1">
        <v>34</v>
      </c>
      <c r="F11" s="1">
        <f>Gear[[#This Row],[On hand]]*Gear[[#This Row],[Cost]]</f>
        <v>850.0</v>
      </c>
    </row>
    <row r="12" spans="1:6">
      <c r="A12" t="s">
        <v>30</v>
      </c>
      <c r="B12" t="s">
        <v>31</v>
      </c>
      <c r="C12" t="s">
        <v>25</v>
      </c>
      <c r="D12">
        <v>12</v>
      </c>
      <c r="E12" s="1">
        <v>32</v>
      </c>
      <c r="F12" s="1">
        <f>Gear[[#This Row],[On hand]]*Gear[[#This Row],[Cost]]</f>
        <v>384.0</v>
      </c>
    </row>
    <row r="13" spans="1:6">
      <c r="A13" t="s">
        <v>32</v>
      </c>
      <c r="B13" t="s">
        <v>33</v>
      </c>
      <c r="C13" t="s">
        <v>25</v>
      </c>
      <c r="D13">
        <v>10</v>
      </c>
      <c r="E13" s="1">
        <v>27</v>
      </c>
      <c r="F13" s="1">
        <f>Gear[[#This Row],[On hand]]*Gear[[#This Row],[Cost]]</f>
        <v>270.0</v>
      </c>
    </row>
    <row r="14" spans="1:6">
      <c r="A14" t="s">
        <v>0</v>
      </c>
      <c r="D14">
        <f>SUBTOTAL(109,Gear[On hand])</f>
        <v>369</v>
      </c>
    </row>
  </sheetData>
  <conditionalFormatting sqref="D2:D13">
    <cfRule type="cellIs" dxfId="1" priority="1" operator="lessThan">
      <formula>15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2" t="s">
        <v>34</v>
      </c>
      <c r="B1" s="2"/>
      <c r="C1" s="2" t="s">
        <v>35</v>
      </c>
    </row>
    <row r="2" spans="1:3">
      <c r="A2" cm="1" t="str">
        <f t="array" ref="A2:A4">_xlfn.UNIQUE(Gear[Category])</f>
        <v>Gear</v>
      </c>
      <c r="C2" cm="1">
        <f t="array" ref="C2:C13">_xlfn._xlws.SORT(Gear[Cost],,-1)</f>
        <v>89.0</v>
      </c>
    </row>
    <row r="3" spans="1:3">
      <c r="A3" t="s">
        <v>18</v>
      </c>
      <c r="C3">
        <v>79</v>
      </c>
    </row>
    <row r="4" spans="1:3">
      <c r="A4" t="s">
        <v>25</v>
      </c>
      <c r="C4">
        <v>65</v>
      </c>
    </row>
    <row r="5" spans="1:3">
      <c r="C5">
        <v>54</v>
      </c>
    </row>
    <row r="6" spans="1:3">
      <c r="C6">
        <v>39</v>
      </c>
    </row>
    <row r="7" spans="1:3">
      <c r="C7">
        <v>34</v>
      </c>
    </row>
    <row r="8" spans="1:3">
      <c r="C8">
        <v>32</v>
      </c>
    </row>
    <row r="9" spans="1:3">
      <c r="C9">
        <v>27</v>
      </c>
    </row>
    <row r="10" spans="1:3">
      <c r="C10">
        <v>24</v>
      </c>
    </row>
    <row r="11" spans="1:3">
      <c r="C11">
        <v>19</v>
      </c>
    </row>
    <row r="12" spans="1:3">
      <c r="C12">
        <v>18.5</v>
      </c>
    </row>
    <row r="13" spans="1:3">
      <c r="C13"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2" t="s">
        <v>2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</row>
    <row r="2" spans="1:6">
      <c r="A2" t="s">
        <v>41</v>
      </c>
      <c r="B2">
        <v>70</v>
      </c>
      <c r="C2">
        <v>64</v>
      </c>
      <c r="D2">
        <v>52</v>
      </c>
      <c r="E2">
        <v>45</v>
      </c>
    </row>
    <row r="3" spans="1:6">
      <c r="A3" t="s">
        <v>18</v>
      </c>
      <c r="B3">
        <v>95</v>
      </c>
      <c r="C3">
        <v>90</v>
      </c>
      <c r="D3">
        <v>88</v>
      </c>
      <c r="E3">
        <v>76</v>
      </c>
    </row>
    <row r="4" spans="1:6">
      <c r="A4" t="s">
        <v>42</v>
      </c>
      <c r="B4">
        <v>60</v>
      </c>
      <c r="C4">
        <v>58</v>
      </c>
      <c r="D4">
        <v>51</v>
      </c>
      <c r="E4">
        <v>40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Trend!B4:E4</xm:f>
              <xm:sqref>F4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Trend!B3:E3</xm:f>
              <xm:sqref>F3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Trend!B2:E2</xm:f>
              <xm:sqref>F2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</v>
      </c>
      <c r="B1" t="s">
        <v>43</v>
      </c>
    </row>
    <row r="2" spans="1:2">
      <c r="A2" t="s">
        <v>26</v>
      </c>
      <c r="B2">
        <v>10</v>
      </c>
    </row>
    <row r="3" spans="1:2">
      <c r="A3" t="s">
        <v>23</v>
      </c>
      <c r="B3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44</v>
      </c>
      <c r="B1" t="s">
        <v>1</v>
      </c>
      <c r="C1" t="s">
        <v>43</v>
      </c>
    </row>
    <row r="2" spans="1:3">
      <c r="A2" t="s">
        <v>45</v>
      </c>
      <c r="B2" t="s">
        <v>16</v>
      </c>
      <c r="C2">
        <v>10</v>
      </c>
    </row>
    <row r="3" spans="1:3">
      <c r="A3" t="s">
        <v>46</v>
      </c>
      <c r="B3" t="s">
        <v>23</v>
      </c>
      <c r="C3">
        <v>40</v>
      </c>
    </row>
    <row r="4" spans="1:3">
      <c r="A4" t="s">
        <v>47</v>
      </c>
      <c r="B4" t="s">
        <v>26</v>
      </c>
      <c r="C4">
        <v>20</v>
      </c>
    </row>
    <row r="5" spans="1:3">
      <c r="A5" t="s">
        <v>48</v>
      </c>
      <c r="B5" t="s">
        <v>14</v>
      </c>
      <c r="C5">
        <v>5</v>
      </c>
    </row>
    <row r="6" spans="1:3">
      <c r="A6" t="s">
        <v>49</v>
      </c>
      <c r="B6" t="s">
        <v>7</v>
      </c>
      <c r="C6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Gear</vt:lpstr>
      <vt:lpstr>Lists</vt:lpstr>
      <vt:lpstr>Trend</vt:lpstr>
      <vt:lpstr>Old</vt:lpstr>
      <vt:lpstr>E3-SC3-deliveries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