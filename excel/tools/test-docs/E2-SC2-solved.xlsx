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Settings" sheetId="2" r:id="rId2"/>
  </sheets>
  <definedNames>
    <definedName name="Discount">Settings!$B$2</definedName>
    <definedName name="Rates">Orders!$D$4:$D$11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<sst xmlns="http://schemas.openxmlformats.org/spreadsheetml/2006/main" count="35" uniqueCount="35">
  <si>
    <t>June orders</t>
  </si>
  <si>
    <t>Order</t>
  </si>
  <si>
    <t>Customer</t>
  </si>
  <si>
    <t>Boats</t>
  </si>
  <si>
    <t>Rate</t>
  </si>
  <si>
    <t>Amount</t>
  </si>
  <si>
    <t>Discount</t>
  </si>
  <si>
    <t>Status</t>
  </si>
  <si>
    <t>Prefix</t>
  </si>
  <si>
    <t>Customer (caps)</t>
  </si>
  <si>
    <t>Label</t>
  </si>
  <si>
    <t>O-301</t>
  </si>
  <si>
    <t>avery chen</t>
  </si>
  <si>
    <t>O-302</t>
  </si>
  <si>
    <t>SAM PATEL</t>
  </si>
  <si>
    <t>O-303</t>
  </si>
  <si>
    <t>riley brooks</t>
  </si>
  <si>
    <t>O-304</t>
  </si>
  <si>
    <t>Jordan Lee</t>
  </si>
  <si>
    <t>O-305</t>
  </si>
  <si>
    <t>casey MORGAN</t>
  </si>
  <si>
    <t>O-306</t>
  </si>
  <si>
    <t>Taylor Kim</t>
  </si>
  <si>
    <t>O-307</t>
  </si>
  <si>
    <t>drew allen</t>
  </si>
  <si>
    <t>O-308</t>
  </si>
  <si>
    <t>Quinn Harper</t>
  </si>
  <si>
    <t>Total</t>
  </si>
  <si>
    <t>Average</t>
  </si>
  <si>
    <t>Customers</t>
  </si>
  <si>
    <t>Week</t>
  </si>
  <si>
    <t>Discount settings</t>
  </si>
  <si>
    <t>Settings</t>
  </si>
  <si>
    <t>Discount rate</t>
  </si>
  <si>
    <t>Discount on $100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</si>
</sst>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0" fontId="2" fillId="0" borderId="0" xfId="0" applyFont="1"/>
    <xf numFmtId="0" fontId="3" fillId="0" borderId="0" xfId="1" applyAlignment="1" applyProtection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 showFormulas="1"/>
  </sheetViews>
  <sheetFormatPr defaultRowHeight="15"/>
  <cols>
    <col min="1" max="1" width="8.7109375" customWidth="1"/>
    <col min="2" max="2" width="16.7109375" customWidth="1"/>
    <col min="5" max="6" width="10.7109375" customWidth="1"/>
    <col min="9" max="10" width="22.7109375" customWidth="1"/>
  </cols>
  <sheetData>
    <row r="1" spans="1:12">
      <c r="A1" s="1" t="s">
        <v>0</v>
      </c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L3" s="2" t="s">
        <v>30</v>
      </c>
    </row>
    <row r="4" spans="1:12">
      <c r="A4" t="s">
        <v>11</v>
      </c>
      <c r="B4" t="s">
        <v>12</v>
      </c>
      <c r="C4">
        <v>3</v>
      </c>
      <c r="D4" s="3">
        <v>35</v>
      </c>
      <c r="E4" s="3">
        <f>C4*D4</f>
        <v>105</v>
      </c>
      <c r="F4" s="3">
        <f>E4*Settings!$B$2</f>
        <v>10.5</v>
      </c>
      <c r="G4" t="str">
        <f>IF(C4&gt;=3,"Group","Single")</f>
        <v>Group</v>
      </c>
      <c r="H4" t="str">
        <f>LEFT(A4,1)</f>
        <v>O</v>
      </c>
      <c r="I4" t="str">
        <f>UPPER(B4)</f>
        <v>AVERY CHEN</v>
      </c>
      <c r="J4" t="str">
        <f>_xlfn.CONCAT(A4," - ",B4)</f>
        <v>O-301 - avery chen</v>
      </c>
      <c r="L4" cm="1">
        <f t="array" ref="L4:L7">_xlfn.SEQUENCE(4)</f>
        <v>1</v>
      </c>
    </row>
    <row r="5" spans="1:12">
      <c r="A5" t="s">
        <v>13</v>
      </c>
      <c r="B5" t="s">
        <v>14</v>
      </c>
      <c r="C5">
        <v>1</v>
      </c>
      <c r="D5" s="3">
        <v>50</v>
      </c>
      <c r="E5" s="3">
        <f>C5*D5</f>
        <v>50</v>
      </c>
      <c r="F5" s="3">
        <f>E5*Settings!$B$2</f>
        <v>5.0</v>
      </c>
      <c r="G5" t="str">
        <f>IF(C5&gt;=3,"Group","Single")</f>
        <v>Single</v>
      </c>
      <c r="H5" t="str">
        <f>LEFT(A5,1)</f>
        <v>O</v>
      </c>
      <c r="I5" t="str">
        <f>UPPER(B5)</f>
        <v>SAM PATEL</v>
      </c>
      <c r="J5" t="str">
        <f>_xlfn.CONCAT(A5," - ",B5)</f>
        <v>O-302 - SAM PATEL</v>
      </c>
      <c r="L5">
        <v>2</v>
      </c>
    </row>
    <row r="6" spans="1:12">
      <c r="A6" t="s">
        <v>15</v>
      </c>
      <c r="B6" t="s">
        <v>16</v>
      </c>
      <c r="C6">
        <v>2</v>
      </c>
      <c r="D6" s="3">
        <v>45</v>
      </c>
      <c r="E6" s="3">
        <f>C6*D6</f>
        <v>90</v>
      </c>
      <c r="F6" s="3">
        <f>E6*Settings!$B$2</f>
        <v>9.0</v>
      </c>
      <c r="G6" t="str">
        <f>IF(C6&gt;=3,"Group","Single")</f>
        <v>Single</v>
      </c>
      <c r="H6" t="str">
        <f>LEFT(A6,1)</f>
        <v>O</v>
      </c>
      <c r="I6" t="str">
        <f>UPPER(B6)</f>
        <v>RILEY BROOKS</v>
      </c>
      <c r="J6" t="str">
        <f>_xlfn.CONCAT(A6," - ",B6)</f>
        <v>O-303 - riley brooks</v>
      </c>
      <c r="L6">
        <v>3</v>
      </c>
    </row>
    <row r="7" spans="1:12">
      <c r="A7" t="s">
        <v>17</v>
      </c>
      <c r="B7" t="s">
        <v>18</v>
      </c>
      <c r="C7">
        <v>4</v>
      </c>
      <c r="D7" s="3">
        <v>25</v>
      </c>
      <c r="E7" s="3">
        <f>C7*D7</f>
        <v>100</v>
      </c>
      <c r="F7" s="3">
        <f>E7*Settings!$B$2</f>
        <v>10.0</v>
      </c>
      <c r="G7" t="str">
        <f>IF(C7&gt;=3,"Group","Single")</f>
        <v>Group</v>
      </c>
      <c r="H7" t="str">
        <f>LEFT(A7,1)</f>
        <v>O</v>
      </c>
      <c r="I7" t="str">
        <f>UPPER(B7)</f>
        <v>JORDAN LEE</v>
      </c>
      <c r="J7" t="str">
        <f>_xlfn.CONCAT(A7," - ",B7)</f>
        <v>O-304 - Jordan Lee</v>
      </c>
      <c r="L7">
        <v>4</v>
      </c>
    </row>
    <row r="8" spans="1:12">
      <c r="A8" t="s">
        <v>19</v>
      </c>
      <c r="B8" t="s">
        <v>20</v>
      </c>
      <c r="C8">
        <v>2</v>
      </c>
      <c r="D8" s="3">
        <v>30</v>
      </c>
      <c r="E8" s="3">
        <f>C8*D8</f>
        <v>60</v>
      </c>
      <c r="F8" s="3">
        <f>E8*Settings!$B$2</f>
        <v>6.0</v>
      </c>
      <c r="G8" t="str">
        <f>IF(C8&gt;=3,"Group","Single")</f>
        <v>Single</v>
      </c>
      <c r="H8" t="str">
        <f>LEFT(A8,1)</f>
        <v>O</v>
      </c>
      <c r="I8" t="str">
        <f>UPPER(B8)</f>
        <v>CASEY MORGAN</v>
      </c>
      <c r="J8" t="str">
        <f>_xlfn.CONCAT(A8," - ",B8)</f>
        <v>O-305 - casey MORGAN</v>
      </c>
    </row>
    <row r="9" spans="1:12">
      <c r="A9" t="s">
        <v>21</v>
      </c>
      <c r="B9" t="s">
        <v>22</v>
      </c>
      <c r="C9">
        <v>5</v>
      </c>
      <c r="D9" s="3">
        <v>25</v>
      </c>
      <c r="E9" s="3">
        <f>C9*D9</f>
        <v>125</v>
      </c>
      <c r="F9" s="3">
        <f>E9*Settings!$B$2</f>
        <v>12.5</v>
      </c>
      <c r="G9" t="str">
        <f>IF(C9&gt;=3,"Group","Single")</f>
        <v>Group</v>
      </c>
      <c r="H9" t="str">
        <f>LEFT(A9,1)</f>
        <v>O</v>
      </c>
      <c r="I9" t="str">
        <f>UPPER(B9)</f>
        <v>TAYLOR KIM</v>
      </c>
      <c r="J9" t="str">
        <f>_xlfn.CONCAT(A9," - ",B9)</f>
        <v>O-306 - Taylor Kim</v>
      </c>
    </row>
    <row r="10" spans="1:12">
      <c r="A10" t="s">
        <v>23</v>
      </c>
      <c r="B10" t="s">
        <v>24</v>
      </c>
      <c r="C10">
        <v>1</v>
      </c>
      <c r="D10" s="3">
        <v>70</v>
      </c>
      <c r="E10" s="3">
        <f>C10*D10</f>
        <v>70</v>
      </c>
      <c r="F10" s="3">
        <f>E10*Settings!$B$2</f>
        <v>7.0</v>
      </c>
      <c r="G10" t="str">
        <f>IF(C10&gt;=3,"Group","Single")</f>
        <v>Single</v>
      </c>
      <c r="H10" t="str">
        <f>LEFT(A10,1)</f>
        <v>O</v>
      </c>
      <c r="I10" t="str">
        <f>UPPER(B10)</f>
        <v>DREW ALLEN</v>
      </c>
      <c r="J10" t="str">
        <f>_xlfn.CONCAT(A10," - ",B10)</f>
        <v>O-307 - drew allen</v>
      </c>
    </row>
    <row r="11" spans="1:12">
      <c r="A11" t="s">
        <v>25</v>
      </c>
      <c r="B11" t="s">
        <v>26</v>
      </c>
      <c r="C11">
        <v>3</v>
      </c>
      <c r="D11" s="3">
        <v>35</v>
      </c>
      <c r="E11" s="3">
        <f>C11*D11</f>
        <v>105</v>
      </c>
      <c r="F11" s="3">
        <f>E11*Settings!$B$2</f>
        <v>10.5</v>
      </c>
      <c r="G11" t="str">
        <f>IF(C11&gt;=3,"Group","Single")</f>
        <v>Group</v>
      </c>
      <c r="H11" t="str">
        <f>LEFT(A11,1)</f>
        <v>O</v>
      </c>
      <c r="I11" t="str">
        <f>UPPER(B11)</f>
        <v>QUINN HARPER</v>
      </c>
      <c r="J11" t="str">
        <f>_xlfn.CONCAT(A11," - ",B11)</f>
        <v>O-308 - Quinn Harper</v>
      </c>
    </row>
    <row r="12" spans="1:12">
      <c r="D12" s="4" t="s">
        <v>27</v>
      </c>
      <c r="E12" s="3">
        <f>SUM(E4:E11)</f>
        <v>705</v>
      </c>
    </row>
    <row r="13" spans="1:12">
      <c r="D13" s="4" t="s">
        <v>28</v>
      </c>
      <c r="E13" s="3">
        <f>AVERAGE(E4:E11)</f>
        <v>88.125</v>
      </c>
    </row>
    <row r="14" spans="1:12">
      <c r="D14" s="4" t="s">
        <v>29</v>
      </c>
      <c r="E14">
        <f>COUNTA(B4:B11)</f>
        <v>8</v>
      </c>
    </row>
    <row r="15" spans="1:12">
      <c r="A15" s="5" t="s">
        <v>31</v>
      </c>
    </row>
  </sheetData>
  <hyperlinks>
    <hyperlink ref="A15" location="Settings!A1" display="Discount setting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8.7109375" customWidth="1"/>
  </cols>
  <sheetData>
    <row r="1" spans="1:2">
      <c r="A1" s="1" t="s">
        <v>32</v>
      </c>
    </row>
    <row r="2" spans="1:2">
      <c r="A2" t="s">
        <v>33</v>
      </c>
      <c r="B2" s="6">
        <v>0.1</v>
      </c>
    </row>
    <row r="4" spans="1:2">
      <c r="A4" t="s">
        <v>34</v>
      </c>
      <c r="B4" s="3">
        <f>100*Discount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Orders</vt:lpstr>
      <vt:lpstr>Settings</vt:lpstr>
      <vt:lpstr>Discount</vt:lpstr>
      <vt:lpstr>Rates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